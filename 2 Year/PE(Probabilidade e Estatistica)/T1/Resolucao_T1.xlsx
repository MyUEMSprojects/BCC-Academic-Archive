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in\OneDrive\Área de Trabalho\UEMS\2023\CC\Avaliacoes\"/>
    </mc:Choice>
  </mc:AlternateContent>
  <bookViews>
    <workbookView xWindow="0" yWindow="0" windowWidth="22400" windowHeight="1039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J3" i="1" s="1"/>
  <c r="J4" i="1" s="1"/>
  <c r="J5" i="1" s="1"/>
  <c r="J6" i="1" s="1"/>
  <c r="J7" i="1" s="1"/>
  <c r="J8" i="1" s="1"/>
  <c r="J9" i="1" s="1"/>
  <c r="J10" i="1" s="1"/>
  <c r="J11" i="1" s="1"/>
  <c r="J12" i="1" s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3" i="1" l="1"/>
  <c r="B34" i="1"/>
  <c r="B42" i="1" l="1"/>
  <c r="B41" i="1"/>
  <c r="B40" i="1"/>
  <c r="B39" i="1"/>
  <c r="B38" i="1"/>
  <c r="B43" i="1" l="1"/>
</calcChain>
</file>

<file path=xl/sharedStrings.xml><?xml version="1.0" encoding="utf-8"?>
<sst xmlns="http://schemas.openxmlformats.org/spreadsheetml/2006/main" count="14" uniqueCount="13">
  <si>
    <t>fi</t>
  </si>
  <si>
    <t>Média</t>
  </si>
  <si>
    <t>Mediana</t>
  </si>
  <si>
    <t>Moda</t>
  </si>
  <si>
    <t>Variância</t>
  </si>
  <si>
    <t>Desvio Padrão</t>
  </si>
  <si>
    <t>CV</t>
  </si>
  <si>
    <t>X^2</t>
  </si>
  <si>
    <t>Soma(X)</t>
  </si>
  <si>
    <t>Soma(X^2)</t>
  </si>
  <si>
    <t>n</t>
  </si>
  <si>
    <t>X  (Altura)</t>
  </si>
  <si>
    <t>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</si>
</sst>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0" xfId="0" applyNumberFormat="1"/>
    <xf numFmtId="1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Plan1!$H$2:$H$12</c:f>
              <c:numCache>
                <c:formatCode>0</c:formatCode>
                <c:ptCount val="11"/>
                <c:pt idx="0">
                  <c:v>169</c:v>
                </c:pt>
                <c:pt idx="1">
                  <c:v>170</c:v>
                </c:pt>
                <c:pt idx="2">
                  <c:v>171</c:v>
                </c:pt>
                <c:pt idx="3">
                  <c:v>172</c:v>
                </c:pt>
                <c:pt idx="4">
                  <c:v>173</c:v>
                </c:pt>
                <c:pt idx="5">
                  <c:v>174</c:v>
                </c:pt>
                <c:pt idx="6">
                  <c:v>175</c:v>
                </c:pt>
                <c:pt idx="7">
                  <c:v>176</c:v>
                </c:pt>
                <c:pt idx="8">
                  <c:v>177</c:v>
                </c:pt>
                <c:pt idx="9">
                  <c:v>178</c:v>
                </c:pt>
                <c:pt idx="10">
                  <c:v>179</c:v>
                </c:pt>
              </c:numCache>
            </c:numRef>
          </c:cat>
          <c:val>
            <c:numRef>
              <c:f>Plan1!$I$2:$I$12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429271912"/>
        <c:axId val="429285768"/>
      </c:barChart>
      <c:catAx>
        <c:axId val="42927191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285768"/>
        <c:crosses val="autoZero"/>
        <c:auto val="1"/>
        <c:lblAlgn val="ctr"/>
        <c:lblOffset val="100"/>
        <c:noMultiLvlLbl val="0"/>
      </c:catAx>
      <c:valAx>
        <c:axId val="429285768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9271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727075</xdr:colOff>
      <xdr:row>25</xdr:row>
      <xdr:rowOff>12700</xdr:rowOff>
    </xdr:from>
    <xdr:to>
      <xdr:col>12</xdr:col>
      <xdr:colOff>403225</xdr:colOff>
      <xdr:row>39</xdr:row>
      <xdr:rowOff>171450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topLeftCell="A16" workbookViewId="0">
      <selection activeCell="F14" sqref="F14"/>
    </sheetView>
  </sheetViews>
  <sheetFormatPr defaultRowHeight="14.5" x14ac:dyDescent="0.35"/>
  <cols>
    <col min="1" max="1" width="12.7265625" style="4" bestFit="1" customWidth="1"/>
    <col min="2" max="2" width="11.81640625" style="5" bestFit="1" customWidth="1"/>
    <col min="5" max="5" width="17" bestFit="1" customWidth="1"/>
    <col min="6" max="6" width="17.7265625" bestFit="1" customWidth="1"/>
    <col min="8" max="8" width="9.08984375" bestFit="1" customWidth="1"/>
  </cols>
  <sheetData>
    <row r="1" spans="1:10" x14ac:dyDescent="0.35">
      <c r="A1" s="4" t="s">
        <v>11</v>
      </c>
      <c r="B1" s="5" t="s">
        <v>7</v>
      </c>
      <c r="D1" s="4"/>
      <c r="E1" s="5"/>
      <c r="H1" s="4" t="s">
        <v>11</v>
      </c>
      <c r="I1" s="5" t="s">
        <v>0</v>
      </c>
      <c r="J1" s="5" t="s">
        <v>12</v>
      </c>
    </row>
    <row r="2" spans="1:10" x14ac:dyDescent="0.35">
      <c r="A2" s="6">
        <v>169</v>
      </c>
      <c r="B2" s="7">
        <f>A2^2</f>
        <v>28561</v>
      </c>
      <c r="D2" s="6"/>
      <c r="E2" s="7"/>
      <c r="F2" s="2"/>
      <c r="H2" s="7">
        <v>169</v>
      </c>
      <c r="I2" s="5">
        <v>2</v>
      </c>
      <c r="J2" s="5">
        <f>I2</f>
        <v>2</v>
      </c>
    </row>
    <row r="3" spans="1:10" x14ac:dyDescent="0.35">
      <c r="A3" s="6">
        <v>169</v>
      </c>
      <c r="B3" s="7">
        <f t="shared" ref="B3:B31" si="0">A3^2</f>
        <v>28561</v>
      </c>
      <c r="D3" s="6"/>
      <c r="E3" s="7"/>
      <c r="F3" s="2"/>
      <c r="H3" s="7">
        <v>170</v>
      </c>
      <c r="I3" s="5">
        <v>3</v>
      </c>
      <c r="J3" s="5">
        <f>I3+J2</f>
        <v>5</v>
      </c>
    </row>
    <row r="4" spans="1:10" x14ac:dyDescent="0.35">
      <c r="A4" s="6">
        <v>170</v>
      </c>
      <c r="B4" s="7">
        <f t="shared" si="0"/>
        <v>28900</v>
      </c>
      <c r="D4" s="6"/>
      <c r="E4" s="7"/>
      <c r="F4" s="2"/>
      <c r="H4" s="7">
        <v>171</v>
      </c>
      <c r="I4" s="5">
        <v>1</v>
      </c>
      <c r="J4" s="5">
        <f t="shared" ref="J4:J12" si="1">I4+J3</f>
        <v>6</v>
      </c>
    </row>
    <row r="5" spans="1:10" x14ac:dyDescent="0.35">
      <c r="A5" s="6">
        <v>170</v>
      </c>
      <c r="B5" s="7">
        <f t="shared" si="0"/>
        <v>28900</v>
      </c>
      <c r="D5" s="6"/>
      <c r="E5" s="7"/>
      <c r="F5" s="2"/>
      <c r="H5" s="7">
        <v>172</v>
      </c>
      <c r="I5" s="5">
        <v>3</v>
      </c>
      <c r="J5" s="5">
        <f t="shared" si="1"/>
        <v>9</v>
      </c>
    </row>
    <row r="6" spans="1:10" x14ac:dyDescent="0.35">
      <c r="A6" s="6">
        <v>170</v>
      </c>
      <c r="B6" s="7">
        <f t="shared" si="0"/>
        <v>28900</v>
      </c>
      <c r="D6" s="6"/>
      <c r="E6" s="7"/>
      <c r="F6" s="2"/>
      <c r="H6" s="7">
        <v>173</v>
      </c>
      <c r="I6" s="5">
        <v>4</v>
      </c>
      <c r="J6" s="5">
        <f t="shared" si="1"/>
        <v>13</v>
      </c>
    </row>
    <row r="7" spans="1:10" x14ac:dyDescent="0.35">
      <c r="A7" s="6">
        <v>171</v>
      </c>
      <c r="B7" s="7">
        <f t="shared" si="0"/>
        <v>29241</v>
      </c>
      <c r="D7" s="6"/>
      <c r="E7" s="7"/>
      <c r="F7" s="2"/>
      <c r="H7" s="7">
        <v>174</v>
      </c>
      <c r="I7" s="5">
        <v>5</v>
      </c>
      <c r="J7" s="5">
        <f t="shared" si="1"/>
        <v>18</v>
      </c>
    </row>
    <row r="8" spans="1:10" x14ac:dyDescent="0.35">
      <c r="A8" s="6">
        <v>172</v>
      </c>
      <c r="B8" s="7">
        <f t="shared" si="0"/>
        <v>29584</v>
      </c>
      <c r="D8" s="6"/>
      <c r="E8" s="7"/>
      <c r="F8" s="2"/>
      <c r="H8" s="7">
        <v>175</v>
      </c>
      <c r="I8" s="5">
        <v>2</v>
      </c>
      <c r="J8" s="5">
        <f t="shared" si="1"/>
        <v>20</v>
      </c>
    </row>
    <row r="9" spans="1:10" x14ac:dyDescent="0.35">
      <c r="A9" s="6">
        <v>172</v>
      </c>
      <c r="B9" s="7">
        <f t="shared" si="0"/>
        <v>29584</v>
      </c>
      <c r="D9" s="6"/>
      <c r="E9" s="7"/>
      <c r="F9" s="2"/>
      <c r="H9" s="7">
        <v>176</v>
      </c>
      <c r="I9" s="5">
        <v>3</v>
      </c>
      <c r="J9" s="5">
        <f t="shared" si="1"/>
        <v>23</v>
      </c>
    </row>
    <row r="10" spans="1:10" x14ac:dyDescent="0.35">
      <c r="A10" s="6">
        <v>172</v>
      </c>
      <c r="B10" s="7">
        <f t="shared" si="0"/>
        <v>29584</v>
      </c>
      <c r="D10" s="6"/>
      <c r="E10" s="7"/>
      <c r="F10" s="2"/>
      <c r="H10" s="7">
        <v>177</v>
      </c>
      <c r="I10" s="5">
        <v>3</v>
      </c>
      <c r="J10" s="5">
        <f t="shared" si="1"/>
        <v>26</v>
      </c>
    </row>
    <row r="11" spans="1:10" x14ac:dyDescent="0.35">
      <c r="A11" s="6">
        <v>173</v>
      </c>
      <c r="B11" s="7">
        <f t="shared" si="0"/>
        <v>29929</v>
      </c>
      <c r="D11" s="6"/>
      <c r="E11" s="7"/>
      <c r="F11" s="2"/>
      <c r="H11" s="7">
        <v>178</v>
      </c>
      <c r="I11" s="5">
        <v>2</v>
      </c>
      <c r="J11" s="5">
        <f t="shared" si="1"/>
        <v>28</v>
      </c>
    </row>
    <row r="12" spans="1:10" x14ac:dyDescent="0.35">
      <c r="A12" s="6">
        <v>173</v>
      </c>
      <c r="B12" s="7">
        <f t="shared" si="0"/>
        <v>29929</v>
      </c>
      <c r="D12" s="6"/>
      <c r="E12" s="7"/>
      <c r="F12" s="2"/>
      <c r="H12" s="7">
        <v>179</v>
      </c>
      <c r="I12" s="5">
        <v>2</v>
      </c>
      <c r="J12" s="5">
        <f t="shared" si="1"/>
        <v>30</v>
      </c>
    </row>
    <row r="13" spans="1:10" x14ac:dyDescent="0.35">
      <c r="A13" s="6">
        <v>173</v>
      </c>
      <c r="B13" s="7">
        <f t="shared" si="0"/>
        <v>29929</v>
      </c>
      <c r="D13" s="6"/>
      <c r="E13" s="7"/>
      <c r="F13" s="2"/>
      <c r="H13" s="3"/>
    </row>
    <row r="14" spans="1:10" x14ac:dyDescent="0.35">
      <c r="A14" s="6">
        <v>173</v>
      </c>
      <c r="B14" s="7">
        <f t="shared" si="0"/>
        <v>29929</v>
      </c>
      <c r="D14" s="6"/>
      <c r="E14" s="7"/>
      <c r="F14" s="2"/>
      <c r="H14" s="3"/>
    </row>
    <row r="15" spans="1:10" x14ac:dyDescent="0.35">
      <c r="A15" s="6">
        <v>174</v>
      </c>
      <c r="B15" s="7">
        <f t="shared" si="0"/>
        <v>30276</v>
      </c>
      <c r="D15" s="6"/>
      <c r="E15" s="7"/>
      <c r="F15" s="2"/>
      <c r="H15" s="3"/>
    </row>
    <row r="16" spans="1:10" x14ac:dyDescent="0.35">
      <c r="A16" s="6">
        <v>174</v>
      </c>
      <c r="B16" s="7">
        <f t="shared" si="0"/>
        <v>30276</v>
      </c>
      <c r="D16" s="6"/>
      <c r="E16" s="7"/>
      <c r="H16" s="3"/>
    </row>
    <row r="17" spans="1:8" x14ac:dyDescent="0.35">
      <c r="A17" s="6">
        <v>174</v>
      </c>
      <c r="B17" s="7">
        <f t="shared" si="0"/>
        <v>30276</v>
      </c>
      <c r="D17" s="6"/>
      <c r="E17" s="7"/>
      <c r="H17" s="3"/>
    </row>
    <row r="18" spans="1:8" x14ac:dyDescent="0.35">
      <c r="A18" s="6">
        <v>174</v>
      </c>
      <c r="B18" s="7">
        <f t="shared" si="0"/>
        <v>30276</v>
      </c>
      <c r="D18" s="6"/>
      <c r="E18" s="7"/>
    </row>
    <row r="19" spans="1:8" x14ac:dyDescent="0.35">
      <c r="A19" s="6">
        <v>174</v>
      </c>
      <c r="B19" s="7">
        <f t="shared" si="0"/>
        <v>30276</v>
      </c>
      <c r="D19" s="6"/>
      <c r="E19" s="7"/>
    </row>
    <row r="20" spans="1:8" x14ac:dyDescent="0.35">
      <c r="A20" s="6">
        <v>175</v>
      </c>
      <c r="B20" s="7">
        <f t="shared" si="0"/>
        <v>30625</v>
      </c>
      <c r="D20" s="6"/>
      <c r="E20" s="7"/>
    </row>
    <row r="21" spans="1:8" x14ac:dyDescent="0.35">
      <c r="A21" s="6">
        <v>175</v>
      </c>
      <c r="B21" s="7">
        <f t="shared" si="0"/>
        <v>30625</v>
      </c>
      <c r="D21" s="6"/>
      <c r="E21" s="7"/>
    </row>
    <row r="22" spans="1:8" x14ac:dyDescent="0.35">
      <c r="A22" s="6">
        <v>176</v>
      </c>
      <c r="B22" s="7">
        <f t="shared" si="0"/>
        <v>30976</v>
      </c>
      <c r="D22" s="6"/>
      <c r="E22" s="7"/>
    </row>
    <row r="23" spans="1:8" x14ac:dyDescent="0.35">
      <c r="A23" s="6">
        <v>176</v>
      </c>
      <c r="B23" s="7">
        <f t="shared" si="0"/>
        <v>30976</v>
      </c>
      <c r="D23" s="6"/>
      <c r="E23" s="7"/>
    </row>
    <row r="24" spans="1:8" x14ac:dyDescent="0.35">
      <c r="A24" s="6">
        <v>176</v>
      </c>
      <c r="B24" s="7">
        <f t="shared" si="0"/>
        <v>30976</v>
      </c>
      <c r="D24" s="6"/>
      <c r="E24" s="7"/>
    </row>
    <row r="25" spans="1:8" x14ac:dyDescent="0.35">
      <c r="A25" s="6">
        <v>177</v>
      </c>
      <c r="B25" s="7">
        <f t="shared" si="0"/>
        <v>31329</v>
      </c>
      <c r="D25" s="6"/>
      <c r="E25" s="7"/>
    </row>
    <row r="26" spans="1:8" x14ac:dyDescent="0.35">
      <c r="A26" s="6">
        <v>177</v>
      </c>
      <c r="B26" s="7">
        <f t="shared" si="0"/>
        <v>31329</v>
      </c>
      <c r="D26" s="6"/>
      <c r="E26" s="7"/>
    </row>
    <row r="27" spans="1:8" x14ac:dyDescent="0.35">
      <c r="A27" s="6">
        <v>177</v>
      </c>
      <c r="B27" s="7">
        <f t="shared" si="0"/>
        <v>31329</v>
      </c>
      <c r="D27" s="6"/>
      <c r="E27" s="7"/>
    </row>
    <row r="28" spans="1:8" x14ac:dyDescent="0.35">
      <c r="A28" s="6">
        <v>178</v>
      </c>
      <c r="B28" s="7">
        <f t="shared" si="0"/>
        <v>31684</v>
      </c>
      <c r="D28" s="6"/>
      <c r="E28" s="7"/>
    </row>
    <row r="29" spans="1:8" x14ac:dyDescent="0.35">
      <c r="A29" s="6">
        <v>178</v>
      </c>
      <c r="B29" s="7">
        <f t="shared" si="0"/>
        <v>31684</v>
      </c>
      <c r="D29" s="6"/>
      <c r="E29" s="7"/>
    </row>
    <row r="30" spans="1:8" x14ac:dyDescent="0.35">
      <c r="A30" s="6">
        <v>179</v>
      </c>
      <c r="B30" s="7">
        <f t="shared" si="0"/>
        <v>32041</v>
      </c>
      <c r="D30" s="6"/>
      <c r="E30" s="7"/>
    </row>
    <row r="31" spans="1:8" x14ac:dyDescent="0.35">
      <c r="A31" s="6">
        <v>179</v>
      </c>
      <c r="B31" s="7">
        <f t="shared" si="0"/>
        <v>32041</v>
      </c>
      <c r="D31" s="6"/>
      <c r="E31" s="7"/>
    </row>
    <row r="32" spans="1:8" x14ac:dyDescent="0.35">
      <c r="A32" s="6"/>
    </row>
    <row r="33" spans="1:2" x14ac:dyDescent="0.35">
      <c r="A33" s="8" t="s">
        <v>8</v>
      </c>
      <c r="B33" s="9">
        <f>SUM(A2:A31)</f>
        <v>5220</v>
      </c>
    </row>
    <row r="34" spans="1:2" x14ac:dyDescent="0.35">
      <c r="A34" s="10" t="s">
        <v>9</v>
      </c>
      <c r="B34" s="9">
        <f>SUM(B2:B31)</f>
        <v>908526</v>
      </c>
    </row>
    <row r="35" spans="1:2" x14ac:dyDescent="0.35">
      <c r="A35" s="10" t="s">
        <v>10</v>
      </c>
      <c r="B35" s="11">
        <v>30</v>
      </c>
    </row>
    <row r="36" spans="1:2" x14ac:dyDescent="0.35">
      <c r="A36" s="13"/>
      <c r="B36" s="14"/>
    </row>
    <row r="37" spans="1:2" x14ac:dyDescent="0.35">
      <c r="A37" s="1"/>
    </row>
    <row r="38" spans="1:2" x14ac:dyDescent="0.35">
      <c r="A38" s="10" t="s">
        <v>1</v>
      </c>
      <c r="B38" s="12">
        <f>AVERAGE(A2:A31)</f>
        <v>174</v>
      </c>
    </row>
    <row r="39" spans="1:2" x14ac:dyDescent="0.35">
      <c r="A39" s="10" t="s">
        <v>2</v>
      </c>
      <c r="B39" s="12">
        <f>MEDIAN(A2:A31)</f>
        <v>174</v>
      </c>
    </row>
    <row r="40" spans="1:2" x14ac:dyDescent="0.35">
      <c r="A40" s="10" t="s">
        <v>3</v>
      </c>
      <c r="B40" s="11">
        <f>MODE(A2:A31)</f>
        <v>174</v>
      </c>
    </row>
    <row r="41" spans="1:2" x14ac:dyDescent="0.35">
      <c r="A41" s="10" t="s">
        <v>4</v>
      </c>
      <c r="B41" s="11">
        <f>VAR(A2:A31)</f>
        <v>8.4827586206896548</v>
      </c>
    </row>
    <row r="42" spans="1:2" x14ac:dyDescent="0.35">
      <c r="A42" s="10" t="s">
        <v>5</v>
      </c>
      <c r="B42" s="11">
        <f>STDEV(A2:A31)</f>
        <v>2.9125175743142999</v>
      </c>
    </row>
    <row r="43" spans="1:2" x14ac:dyDescent="0.35">
      <c r="A43" s="10" t="s">
        <v>6</v>
      </c>
      <c r="B43" s="11">
        <f>B42/B38</f>
        <v>1.6738606748932759E-2</v>
      </c>
    </row>
  </sheetData>
  <sortState ref="A2:A31">
    <sortCondition ref="A1"/>
  </sortState>
  <pageMargins left="0.511811024" right="0.511811024" top="0.78740157499999996" bottom="0.78740157499999996" header="0.31496062000000002" footer="0.31496062000000002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Rodrigues Maestre</dc:creator>
  <cp:lastModifiedBy>Marina Rodrigues Maestre</cp:lastModifiedBy>
  <dcterms:created xsi:type="dcterms:W3CDTF">2023-04-13T02:01:53Z</dcterms:created>
  <dcterms:modified xsi:type="dcterms:W3CDTF">2023-05-10T14:28:01Z</dcterms:modified>
</cp:coreProperties>
</file>